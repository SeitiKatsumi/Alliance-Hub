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" sheetId="1" r:id="rId4"/>
  </sheets>
  <definedNames/>
  <calcPr/>
  <extLst>
    <ext uri="GoogleSheetsCustomDataVersion2">
      <go:sheetsCustomData xmlns:go="http://customooxmlschemas.google.com/" r:id="rId5" roundtripDataChecksum="VbBgS7boJptKIpG6+jOJ2wnnBCodp0COogGW+XGuwv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3">
      <text>
        <t xml:space="preserve">======
ID#AAAB430ip-A
tc={E677C62E-96BE-49BC-9A61-F2544703A56D}    (2026-04-06 15:29:28)
[Comentário encadeado]
Sua versão do Excel permite que você leia este comentário encadeado, no entanto, as edições serão removidas se o arquivo for aberto em uma versão mais recente do Excel. Saiba mais: https://go.microsoft.com/fwlink/?linkid=870924
Comentário:
    Múltiplo sobre Capital Investido</t>
      </text>
    </comment>
    <comment authorId="0" ref="I13">
      <text>
        <t xml:space="preserve">======
ID#AAAB430ip98
tc={FCB21743-D6FC-4352-8C7D-3E6101EE3F08}    (2026-04-06 15:29:28)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Somatório do Fluxot/(1+r)^(Diast/Período)=0</t>
      </text>
    </comment>
  </commentList>
  <extLst>
    <ext uri="GoogleSheetsCustomDataVersion2">
      <go:sheetsCustomData xmlns:go="http://customooxmlschemas.google.com/" r:id="rId1" roundtripDataSignature="AMtx7micexc5fB1FyQ8qWwX8GqCJ/lNMIQ=="/>
    </ext>
  </extLst>
</comments>
</file>

<file path=xl/sharedStrings.xml><?xml version="1.0" encoding="utf-8"?>
<sst xmlns="http://schemas.openxmlformats.org/spreadsheetml/2006/main" count="20" uniqueCount="20">
  <si>
    <t>total de aportes</t>
  </si>
  <si>
    <t>INSS Previsto</t>
  </si>
  <si>
    <t>Manutenção Pós Obra Prevista</t>
  </si>
  <si>
    <t>Valor Geral de Venda (VGV)</t>
  </si>
  <si>
    <t>Comissão prevista Corretor</t>
  </si>
  <si>
    <t>IR Previsto</t>
  </si>
  <si>
    <t>Total de Receita</t>
  </si>
  <si>
    <t>Lucro Previsto</t>
  </si>
  <si>
    <t>Início dos aportes</t>
  </si>
  <si>
    <t>Resultado por MAP</t>
  </si>
  <si>
    <t>Receita MAP</t>
  </si>
  <si>
    <t>Lucro líquido</t>
  </si>
  <si>
    <t>MOIC</t>
  </si>
  <si>
    <t>ROI Simples</t>
  </si>
  <si>
    <t>TIR</t>
  </si>
  <si>
    <t>Josmar Santos</t>
  </si>
  <si>
    <t>Darci Costa</t>
  </si>
  <si>
    <t>Rodrigo</t>
  </si>
  <si>
    <t>Arthur</t>
  </si>
  <si>
    <t>Período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</si>
</sst>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0.000%"/>
    <numFmt numFmtId="166" formatCode="0.0000%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9.0"/>
      <color theme="1"/>
      <name val="Ubuntu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1" fillId="3" fontId="2" numFmtId="4" xfId="0" applyBorder="1" applyFill="1" applyFont="1" applyNumberFormat="1"/>
    <xf borderId="0" fillId="2" fontId="2" numFmtId="164" xfId="0" applyFont="1" applyNumberFormat="1"/>
    <xf borderId="0" fillId="4" fontId="2" numFmtId="9" xfId="0" applyFill="1" applyFont="1" applyNumberFormat="1"/>
    <xf borderId="0" fillId="4" fontId="2" numFmtId="164" xfId="0" applyAlignment="1" applyFont="1" applyNumberFormat="1">
      <alignment readingOrder="0"/>
    </xf>
    <xf borderId="0" fillId="4" fontId="2" numFmtId="165" xfId="0" applyFont="1" applyNumberFormat="1"/>
    <xf borderId="0" fillId="4" fontId="1" numFmtId="0" xfId="0" applyFont="1"/>
    <xf borderId="1" fillId="2" fontId="2" numFmtId="0" xfId="0" applyBorder="1" applyFont="1"/>
    <xf borderId="1" fillId="3" fontId="2" numFmtId="164" xfId="0" applyBorder="1" applyFont="1" applyNumberFormat="1"/>
    <xf borderId="0" fillId="2" fontId="2" numFmtId="165" xfId="0" applyFont="1" applyNumberFormat="1"/>
    <xf borderId="1" fillId="2" fontId="3" numFmtId="0" xfId="0" applyBorder="1" applyFont="1"/>
    <xf borderId="1" fillId="2" fontId="2" numFmtId="4" xfId="0" applyBorder="1" applyFont="1" applyNumberFormat="1"/>
    <xf borderId="1" fillId="2" fontId="2" numFmtId="165" xfId="0" applyBorder="1" applyFont="1" applyNumberFormat="1"/>
    <xf borderId="0" fillId="2" fontId="2" numFmtId="4" xfId="0" applyFont="1" applyNumberFormat="1"/>
    <xf borderId="0" fillId="2" fontId="3" numFmtId="166" xfId="0" applyFont="1" applyNumberFormat="1"/>
    <xf borderId="0" fillId="2" fontId="3" numFmtId="1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13"/>
    <col customWidth="1" min="3" max="3" width="15.38"/>
    <col customWidth="1" min="4" max="4" width="9.63"/>
    <col customWidth="1" min="5" max="5" width="16.38"/>
    <col customWidth="1" min="6" max="6" width="12.63"/>
    <col customWidth="1" min="7" max="7" width="18.0"/>
    <col customWidth="1" min="8" max="8" width="22.5"/>
    <col customWidth="1" min="9" max="9" width="11.38"/>
    <col customWidth="1" min="10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2" t="s">
        <v>0</v>
      </c>
      <c r="C2" s="3">
        <f>C19</f>
        <v>734974.21</v>
      </c>
      <c r="D2" s="2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2" t="s">
        <v>1</v>
      </c>
      <c r="C3" s="4">
        <f>C2*D3</f>
        <v>58797.9368</v>
      </c>
      <c r="D3" s="5">
        <v>0.08</v>
      </c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2" t="s">
        <v>2</v>
      </c>
      <c r="C4" s="4">
        <f>C2*D4</f>
        <v>22049.2263</v>
      </c>
      <c r="D4" s="5">
        <v>0.03</v>
      </c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2" t="s">
        <v>3</v>
      </c>
      <c r="C5" s="6">
        <v>1500000.0</v>
      </c>
      <c r="D5" s="2"/>
      <c r="E5" s="1"/>
      <c r="F5" s="1"/>
      <c r="G5" s="1"/>
      <c r="H5" s="1"/>
      <c r="I5" s="1"/>
      <c r="J5" s="1"/>
      <c r="K5" s="1"/>
      <c r="L5" s="1"/>
      <c r="M5" s="1"/>
    </row>
    <row r="6">
      <c r="A6" s="1"/>
      <c r="B6" s="2" t="s">
        <v>4</v>
      </c>
      <c r="C6" s="4">
        <f>C5*D6</f>
        <v>90000</v>
      </c>
      <c r="D6" s="7">
        <v>0.06</v>
      </c>
      <c r="E6" s="1"/>
      <c r="F6" s="8"/>
      <c r="G6" s="1"/>
      <c r="H6" s="1"/>
      <c r="I6" s="1"/>
      <c r="J6" s="1"/>
      <c r="K6" s="1"/>
      <c r="L6" s="1"/>
      <c r="M6" s="1"/>
    </row>
    <row r="7">
      <c r="A7" s="1"/>
      <c r="B7" s="2" t="s">
        <v>5</v>
      </c>
      <c r="C7" s="4">
        <f>C5*D7</f>
        <v>169950</v>
      </c>
      <c r="D7" s="7">
        <v>0.1133</v>
      </c>
      <c r="E7" s="1"/>
      <c r="F7" s="1"/>
      <c r="G7" s="1"/>
      <c r="H7" s="1"/>
      <c r="I7" s="1"/>
      <c r="J7" s="1"/>
      <c r="K7" s="1"/>
      <c r="L7" s="1"/>
      <c r="M7" s="1"/>
    </row>
    <row r="8">
      <c r="A8" s="1"/>
      <c r="B8" s="9" t="s">
        <v>6</v>
      </c>
      <c r="C8" s="10">
        <f>C5-C6-C7</f>
        <v>1240050</v>
      </c>
      <c r="D8" s="11"/>
      <c r="E8" s="1"/>
      <c r="F8" s="1"/>
      <c r="G8" s="1"/>
      <c r="H8" s="1"/>
      <c r="I8" s="1"/>
      <c r="J8" s="1"/>
      <c r="K8" s="1"/>
      <c r="L8" s="1"/>
      <c r="M8" s="1"/>
    </row>
    <row r="9">
      <c r="A9" s="1"/>
      <c r="B9" s="2" t="s">
        <v>7</v>
      </c>
      <c r="C9" s="4">
        <f>C5-C2-C3-C4-C6-C7</f>
        <v>424228.6269</v>
      </c>
      <c r="D9" s="11">
        <f>C9/C2</f>
        <v>0.5772020584</v>
      </c>
      <c r="E9" s="1"/>
      <c r="F9" s="1"/>
      <c r="G9" s="1"/>
      <c r="H9" s="1"/>
      <c r="I9" s="1"/>
      <c r="J9" s="1"/>
      <c r="K9" s="1"/>
      <c r="L9" s="1"/>
      <c r="M9" s="1"/>
    </row>
    <row r="10">
      <c r="A10" s="1"/>
      <c r="B10" s="2" t="s">
        <v>8</v>
      </c>
      <c r="C10" s="4"/>
      <c r="D10" s="11"/>
      <c r="E10" s="1"/>
      <c r="F10" s="1"/>
      <c r="G10" s="1"/>
      <c r="H10" s="1"/>
      <c r="I10" s="1"/>
      <c r="J10" s="1"/>
      <c r="K10" s="1"/>
      <c r="L10" s="1"/>
      <c r="M10" s="1"/>
    </row>
    <row r="11">
      <c r="A11" s="1"/>
      <c r="B11" s="2"/>
      <c r="C11" s="4"/>
      <c r="D11" s="11"/>
      <c r="E11" s="1"/>
      <c r="F11" s="1"/>
      <c r="G11" s="1"/>
      <c r="H11" s="1"/>
      <c r="I11" s="1" t="e">
        <v>#VALUE!</v>
      </c>
      <c r="J11" s="1"/>
      <c r="K11" s="1"/>
      <c r="L11" s="1"/>
      <c r="M11" s="1"/>
    </row>
    <row r="12">
      <c r="A12" s="1"/>
      <c r="B12" s="1"/>
      <c r="C12" s="1"/>
      <c r="D12" s="1"/>
      <c r="E12" s="1"/>
      <c r="F12" s="1"/>
      <c r="G12" s="1"/>
      <c r="H12" s="1"/>
      <c r="I12" s="1" t="e">
        <v>#VALUE!</v>
      </c>
      <c r="J12" s="1"/>
      <c r="K12" s="1"/>
      <c r="L12" s="1"/>
      <c r="M12" s="1"/>
    </row>
    <row r="13">
      <c r="A13" s="1"/>
      <c r="B13" s="2" t="s">
        <v>9</v>
      </c>
      <c r="C13" s="1"/>
      <c r="D13" s="1"/>
      <c r="E13" s="12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/>
      <c r="K13" s="1"/>
      <c r="L13" s="1"/>
      <c r="M13" s="1"/>
    </row>
    <row r="14">
      <c r="A14" s="1"/>
      <c r="B14" s="2" t="s">
        <v>15</v>
      </c>
      <c r="C14" s="13">
        <v>290851.84</v>
      </c>
      <c r="D14" s="14">
        <f>C14/C19</f>
        <v>0.3957306747</v>
      </c>
      <c r="E14" s="13">
        <f>C8*D14</f>
        <v>490725.8231</v>
      </c>
      <c r="F14" s="15">
        <f t="shared" ref="F14:F17" si="1">E14-C14</f>
        <v>199873.9831</v>
      </c>
      <c r="G14" s="1">
        <f t="shared" ref="G14:G17" si="2">E14/C14</f>
        <v>1.687202058</v>
      </c>
      <c r="H14" s="16">
        <f t="shared" ref="H14:H17" si="3">(E14-C14)/C14</f>
        <v>0.6872020584</v>
      </c>
      <c r="I14" s="1"/>
      <c r="J14" s="1"/>
      <c r="K14" s="1"/>
      <c r="L14" s="1"/>
      <c r="M14" s="1"/>
    </row>
    <row r="15">
      <c r="A15" s="1"/>
      <c r="B15" s="2" t="s">
        <v>16</v>
      </c>
      <c r="C15" s="13">
        <v>200415.45</v>
      </c>
      <c r="D15" s="14">
        <f>C15/C19</f>
        <v>0.2726836497</v>
      </c>
      <c r="E15" s="13">
        <f>C8*D15</f>
        <v>338141.3598</v>
      </c>
      <c r="F15" s="15">
        <f t="shared" si="1"/>
        <v>137725.9098</v>
      </c>
      <c r="G15" s="1">
        <f t="shared" si="2"/>
        <v>1.687202058</v>
      </c>
      <c r="H15" s="16">
        <f t="shared" si="3"/>
        <v>0.6872020584</v>
      </c>
      <c r="I15" s="1"/>
      <c r="J15" s="1"/>
      <c r="K15" s="1"/>
      <c r="L15" s="1"/>
      <c r="M15" s="1"/>
    </row>
    <row r="16">
      <c r="A16" s="1"/>
      <c r="B16" s="2" t="s">
        <v>17</v>
      </c>
      <c r="C16" s="13">
        <v>167239.92</v>
      </c>
      <c r="D16" s="14">
        <f>C16/C19</f>
        <v>0.2275452903</v>
      </c>
      <c r="E16" s="13">
        <f>C8*D16</f>
        <v>282167.5373</v>
      </c>
      <c r="F16" s="15">
        <f t="shared" si="1"/>
        <v>114927.6173</v>
      </c>
      <c r="G16" s="1">
        <f t="shared" si="2"/>
        <v>1.687202058</v>
      </c>
      <c r="H16" s="16">
        <f t="shared" si="3"/>
        <v>0.6872020584</v>
      </c>
      <c r="I16" s="1"/>
      <c r="J16" s="1"/>
      <c r="K16" s="1"/>
      <c r="L16" s="1"/>
      <c r="M16" s="1"/>
    </row>
    <row r="17">
      <c r="A17" s="1"/>
      <c r="B17" s="2" t="s">
        <v>18</v>
      </c>
      <c r="C17" s="13">
        <v>76467.0</v>
      </c>
      <c r="D17" s="14">
        <f>C17/C19</f>
        <v>0.1040403853</v>
      </c>
      <c r="E17" s="13">
        <f>C8*D17</f>
        <v>129015.2798</v>
      </c>
      <c r="F17" s="15">
        <f t="shared" si="1"/>
        <v>52548.2798</v>
      </c>
      <c r="G17" s="1">
        <f t="shared" si="2"/>
        <v>1.687202058</v>
      </c>
      <c r="H17" s="16">
        <f t="shared" si="3"/>
        <v>0.6872020584</v>
      </c>
      <c r="I17" s="1"/>
      <c r="J17" s="1"/>
      <c r="K17" s="1"/>
      <c r="L17" s="1"/>
      <c r="M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 t="s">
        <v>19</v>
      </c>
      <c r="L18" s="1"/>
      <c r="M18" s="1"/>
    </row>
    <row r="19">
      <c r="A19" s="1"/>
      <c r="B19" s="1"/>
      <c r="C19" s="15">
        <f>SUM(C14:C17)</f>
        <v>734974.21</v>
      </c>
      <c r="D19" s="1"/>
      <c r="E19" s="1"/>
      <c r="F19" s="1"/>
      <c r="G19" s="1"/>
      <c r="H19" s="1"/>
      <c r="I19" s="17">
        <v>45658.0</v>
      </c>
      <c r="J19" s="1">
        <v>30000.0</v>
      </c>
      <c r="K19" s="1">
        <f>I22-I19</f>
        <v>433</v>
      </c>
      <c r="L19" s="1"/>
      <c r="M19" s="1"/>
    </row>
    <row r="20">
      <c r="A20" s="1"/>
      <c r="B20" s="1"/>
      <c r="C20" s="1"/>
      <c r="D20" s="1"/>
      <c r="E20" s="1"/>
      <c r="F20" s="1"/>
      <c r="G20" s="1"/>
      <c r="H20" s="1"/>
      <c r="I20" s="17">
        <v>45814.0</v>
      </c>
      <c r="J20" s="1">
        <v>30000.0</v>
      </c>
      <c r="K20" s="1">
        <f>I22-I20</f>
        <v>277</v>
      </c>
      <c r="L20" s="1"/>
      <c r="M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7">
        <v>46003.0</v>
      </c>
      <c r="J21" s="1">
        <v>30000.0</v>
      </c>
      <c r="K21" s="1">
        <f>I22-I21</f>
        <v>88</v>
      </c>
      <c r="L21" s="1"/>
      <c r="M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7">
        <v>46091.0</v>
      </c>
      <c r="J22" s="1">
        <v>150000.0</v>
      </c>
      <c r="K22" s="1"/>
      <c r="L22" s="1"/>
      <c r="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2026-03-19T16:40:24Z</dcterms:created>
  <dc:creator>Rodrigo Di Bernardi</dc:creator>
</cp:coreProperties>
</file>